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tics\Portfolio\Grab\ModuleA\"/>
    </mc:Choice>
  </mc:AlternateContent>
  <xr:revisionPtr revIDLastSave="0" documentId="13_ncr:1_{769AE405-1644-4937-9CCB-0DBE001797FB}" xr6:coauthVersionLast="47" xr6:coauthVersionMax="47" xr10:uidLastSave="{00000000-0000-0000-0000-000000000000}"/>
  <bookViews>
    <workbookView xWindow="-108" yWindow="-108" windowWidth="23256" windowHeight="12456" activeTab="2" xr2:uid="{49BF9C68-24EA-4757-9DA9-31932868554F}"/>
  </bookViews>
  <sheets>
    <sheet name="Raw Data (Revenue)" sheetId="1" r:id="rId1"/>
    <sheet name="Model" sheetId="2" r:id="rId2"/>
    <sheet name="Dashboard" sheetId="3" r:id="rId3"/>
    <sheet name="PBI_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C10" i="1"/>
  <c r="C11" i="1"/>
  <c r="C9" i="1"/>
  <c r="D9" i="1"/>
  <c r="B10" i="1"/>
  <c r="B11" i="1"/>
  <c r="B9" i="1"/>
  <c r="F5" i="2"/>
  <c r="F6" i="2"/>
  <c r="E5" i="2"/>
  <c r="E6" i="2"/>
  <c r="E3" i="2"/>
  <c r="E7" i="2" s="1"/>
  <c r="F4" i="2"/>
  <c r="F7" i="2" s="1"/>
  <c r="E4" i="2"/>
  <c r="F3" i="2"/>
  <c r="C12" i="2"/>
  <c r="C13" i="2"/>
  <c r="C14" i="2"/>
  <c r="C11" i="2"/>
  <c r="C7" i="2"/>
  <c r="D7" i="2"/>
  <c r="B7" i="2"/>
  <c r="D4" i="2"/>
  <c r="D5" i="2"/>
  <c r="D6" i="2"/>
  <c r="C4" i="2"/>
  <c r="C5" i="2"/>
  <c r="C6" i="2"/>
  <c r="B4" i="2"/>
  <c r="B5" i="2"/>
  <c r="B6" i="2"/>
  <c r="C3" i="2"/>
  <c r="D3" i="2"/>
  <c r="B3" i="2"/>
  <c r="O3" i="1"/>
  <c r="O4" i="1"/>
  <c r="O5" i="1"/>
  <c r="O2" i="1"/>
  <c r="N3" i="1"/>
  <c r="N4" i="1"/>
  <c r="N5" i="1"/>
  <c r="N2" i="1"/>
  <c r="M3" i="1"/>
  <c r="M4" i="1"/>
  <c r="M5" i="1"/>
  <c r="M2" i="1"/>
  <c r="H3" i="1"/>
  <c r="H4" i="1"/>
  <c r="H5" i="1"/>
  <c r="H2" i="1"/>
  <c r="H6" i="1"/>
  <c r="G5" i="1"/>
  <c r="G6" i="1" s="1"/>
  <c r="G3" i="1"/>
  <c r="G4" i="1"/>
  <c r="G2" i="1"/>
  <c r="I2" i="1"/>
  <c r="C6" i="1"/>
  <c r="D6" i="1"/>
  <c r="I5" i="1" s="1"/>
  <c r="B6" i="1"/>
  <c r="I4" i="1" l="1"/>
  <c r="I3" i="1"/>
  <c r="I6" i="1" l="1"/>
</calcChain>
</file>

<file path=xl/sharedStrings.xml><?xml version="1.0" encoding="utf-8"?>
<sst xmlns="http://schemas.openxmlformats.org/spreadsheetml/2006/main" count="55" uniqueCount="38">
  <si>
    <t>Segment</t>
  </si>
  <si>
    <t>Deliveries</t>
  </si>
  <si>
    <t>Mobility</t>
  </si>
  <si>
    <t>Financial Services</t>
  </si>
  <si>
    <t>Others</t>
  </si>
  <si>
    <t>FY 2024</t>
  </si>
  <si>
    <t>FY 2023</t>
  </si>
  <si>
    <t>FY 2025</t>
  </si>
  <si>
    <t>YoY Growth 24</t>
  </si>
  <si>
    <t>Yoy Growth 25</t>
  </si>
  <si>
    <t>Total</t>
  </si>
  <si>
    <t>Revenue Mix % 2025</t>
  </si>
  <si>
    <t>Revenue Mix % 2023</t>
  </si>
  <si>
    <t>Revenue Mix % 2024</t>
  </si>
  <si>
    <t>Segment Adjusted EBITDA (2023)</t>
  </si>
  <si>
    <t>Segment Adjusted EBITDA (2024)</t>
  </si>
  <si>
    <t>Segment Adjusted EBITDA (2025)</t>
  </si>
  <si>
    <t>Adj. EBITDA Margin (2023)</t>
  </si>
  <si>
    <t>Adj. EBITDA Margin (2024)</t>
  </si>
  <si>
    <t>Adj. EBITDA Margin (2025)</t>
  </si>
  <si>
    <t>Revenue Forecast</t>
  </si>
  <si>
    <t>FY 2023 (Actual)</t>
  </si>
  <si>
    <t>FY 2024 (Actual)</t>
  </si>
  <si>
    <t>FY 2025 (Actual)</t>
  </si>
  <si>
    <t>FY 2026 Base Case</t>
  </si>
  <si>
    <t>FY 2026 Bear Case</t>
  </si>
  <si>
    <t>Assumptions</t>
  </si>
  <si>
    <t>Base Case Growth%</t>
  </si>
  <si>
    <t>Bear Case Growth %</t>
  </si>
  <si>
    <t>Total FY2025 Revenue</t>
  </si>
  <si>
    <t>$3,370M</t>
  </si>
  <si>
    <t>Fastest Growing Segment</t>
  </si>
  <si>
    <t>Financial Services +37%</t>
  </si>
  <si>
    <t>Most Profitable Segment</t>
  </si>
  <si>
    <t>Mobility 56.6% margin</t>
  </si>
  <si>
    <t>FY 2026 Base Case Projection</t>
  </si>
  <si>
    <t>$4,071M</t>
  </si>
  <si>
    <t>Grab Holdings — Financial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</si>
</sst>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7A36"/>
      <name val="Calibri"/>
      <family val="2"/>
      <scheme val="minor"/>
    </font>
    <font>
      <sz val="11"/>
      <color rgb="FF00B14F"/>
      <name val="Calibri"/>
      <family val="2"/>
      <scheme val="minor"/>
    </font>
    <font>
      <b/>
      <sz val="14"/>
      <color rgb="FF00B14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 wrapText="1"/>
    </xf>
    <xf numFmtId="1" fontId="0" fillId="0" borderId="0" xfId="0" applyNumberFormat="1"/>
    <xf numFmtId="164" fontId="3" fillId="0" borderId="1" xfId="0" applyNumberFormat="1" applyFont="1" applyBorder="1"/>
    <xf numFmtId="9" fontId="3" fillId="0" borderId="1" xfId="0" applyNumberFormat="1" applyFont="1" applyBorder="1"/>
    <xf numFmtId="9" fontId="4" fillId="0" borderId="1" xfId="0" applyNumberFormat="1" applyFont="1" applyBorder="1"/>
    <xf numFmtId="9" fontId="0" fillId="0" borderId="1" xfId="1" applyFont="1" applyBorder="1"/>
    <xf numFmtId="165" fontId="0" fillId="0" borderId="1" xfId="1" applyNumberFormat="1" applyFont="1" applyBorder="1"/>
    <xf numFmtId="1" fontId="5" fillId="0" borderId="1" xfId="0" applyNumberFormat="1" applyFont="1" applyBorder="1"/>
    <xf numFmtId="0" fontId="5" fillId="0" borderId="1" xfId="0" applyFont="1" applyBorder="1"/>
    <xf numFmtId="9" fontId="0" fillId="0" borderId="0" xfId="0" applyNumberFormat="1"/>
    <xf numFmtId="9" fontId="3" fillId="0" borderId="0" xfId="0" applyNumberFormat="1" applyFont="1" applyFill="1" applyBorder="1"/>
    <xf numFmtId="0" fontId="2" fillId="0" borderId="0" xfId="0" applyFont="1"/>
    <xf numFmtId="0" fontId="0" fillId="0" borderId="2" xfId="0" applyBorder="1"/>
    <xf numFmtId="165" fontId="0" fillId="0" borderId="3" xfId="1" applyNumberFormat="1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/>
    <xf numFmtId="164" fontId="0" fillId="0" borderId="8" xfId="0" applyNumberFormat="1" applyBorder="1"/>
    <xf numFmtId="2" fontId="0" fillId="0" borderId="8" xfId="0" applyNumberFormat="1" applyBorder="1"/>
    <xf numFmtId="9" fontId="0" fillId="0" borderId="8" xfId="1" applyFont="1" applyBorder="1"/>
    <xf numFmtId="0" fontId="0" fillId="0" borderId="8" xfId="0" applyBorder="1"/>
    <xf numFmtId="0" fontId="0" fillId="0" borderId="9" xfId="0" applyBorder="1"/>
    <xf numFmtId="0" fontId="0" fillId="2" borderId="1" xfId="0" applyFont="1" applyFill="1" applyBorder="1"/>
    <xf numFmtId="0" fontId="0" fillId="0" borderId="1" xfId="0" applyFont="1" applyBorder="1"/>
    <xf numFmtId="0" fontId="7" fillId="0" borderId="0" xfId="0" applyFont="1"/>
    <xf numFmtId="0" fontId="8" fillId="0" borderId="0" xfId="0" applyFont="1"/>
    <xf numFmtId="0" fontId="7" fillId="0" borderId="8" xfId="0" applyFont="1" applyBorder="1"/>
    <xf numFmtId="0" fontId="8" fillId="0" borderId="5" xfId="0" applyFont="1" applyBorder="1"/>
    <xf numFmtId="0" fontId="0" fillId="0" borderId="1" xfId="0" applyBorder="1"/>
    <xf numFmtId="165" fontId="0" fillId="0" borderId="1" xfId="0" applyNumberFormat="1" applyBorder="1"/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4"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64" formatCode="\$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64" formatCode="\$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64" formatCode="\$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B14F"/>
      <color rgb="FF007A36"/>
      <color rgb="FF80D8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/>
              <a:t>Revenue by Segment</a:t>
            </a:r>
            <a:r>
              <a:rPr lang="en-PH" baseline="0"/>
              <a:t> (FY2023-FY2025)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'Raw Data (Revenue)'!$A$2</c:f>
              <c:strCache>
                <c:ptCount val="1"/>
                <c:pt idx="0">
                  <c:v>Deliveries</c:v>
                </c:pt>
              </c:strCache>
            </c:strRef>
          </c:tx>
          <c:spPr>
            <a:solidFill>
              <a:srgbClr val="00B14F"/>
            </a:solidFill>
            <a:ln>
              <a:noFill/>
            </a:ln>
            <a:effectLst/>
          </c:spPr>
          <c:invertIfNegative val="0"/>
          <c:cat>
            <c:strRef>
              <c:f>'Raw Data (Revenue)'!$B$1:$D$1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'Raw Data (Revenue)'!$B$2:$D$2</c:f>
              <c:numCache>
                <c:formatCode>\$#,##0</c:formatCode>
                <c:ptCount val="3"/>
                <c:pt idx="0">
                  <c:v>1310</c:v>
                </c:pt>
                <c:pt idx="1">
                  <c:v>1493</c:v>
                </c:pt>
                <c:pt idx="2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0-4455-8CB1-9D90E63FB26E}"/>
            </c:ext>
          </c:extLst>
        </c:ser>
        <c:ser>
          <c:idx val="1"/>
          <c:order val="1"/>
          <c:tx>
            <c:strRef>
              <c:f>'Raw Data (Revenue)'!$A$3</c:f>
              <c:strCache>
                <c:ptCount val="1"/>
                <c:pt idx="0">
                  <c:v>Mobility</c:v>
                </c:pt>
              </c:strCache>
            </c:strRef>
          </c:tx>
          <c:spPr>
            <a:solidFill>
              <a:srgbClr val="007A36"/>
            </a:solidFill>
            <a:ln>
              <a:noFill/>
            </a:ln>
            <a:effectLst/>
          </c:spPr>
          <c:invertIfNegative val="0"/>
          <c:cat>
            <c:strRef>
              <c:f>'Raw Data (Revenue)'!$B$1:$D$1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'Raw Data (Revenue)'!$B$3:$D$3</c:f>
              <c:numCache>
                <c:formatCode>\$#,##0</c:formatCode>
                <c:ptCount val="3"/>
                <c:pt idx="0">
                  <c:v>871</c:v>
                </c:pt>
                <c:pt idx="1">
                  <c:v>1047</c:v>
                </c:pt>
                <c:pt idx="2">
                  <c:v>1219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90-4455-8CB1-9D90E63FB26E}"/>
            </c:ext>
          </c:extLst>
        </c:ser>
        <c:ser>
          <c:idx val="2"/>
          <c:order val="2"/>
          <c:tx>
            <c:strRef>
              <c:f>'Raw Data (Revenue)'!$A$4</c:f>
              <c:strCache>
                <c:ptCount val="1"/>
                <c:pt idx="0">
                  <c:v>Financial Services</c:v>
                </c:pt>
              </c:strCache>
            </c:strRef>
          </c:tx>
          <c:spPr>
            <a:solidFill>
              <a:srgbClr val="80D8A7"/>
            </a:solidFill>
            <a:ln>
              <a:noFill/>
            </a:ln>
            <a:effectLst/>
          </c:spPr>
          <c:invertIfNegative val="0"/>
          <c:cat>
            <c:strRef>
              <c:f>'Raw Data (Revenue)'!$B$1:$D$1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'Raw Data (Revenue)'!$B$4:$D$4</c:f>
              <c:numCache>
                <c:formatCode>\$#,##0</c:formatCode>
                <c:ptCount val="3"/>
                <c:pt idx="0">
                  <c:v>177</c:v>
                </c:pt>
                <c:pt idx="1">
                  <c:v>253</c:v>
                </c:pt>
                <c:pt idx="2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90-4455-8CB1-9D90E63FB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8127744"/>
        <c:axId val="1578124832"/>
      </c:barChart>
      <c:catAx>
        <c:axId val="1578127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24832"/>
        <c:crosses val="autoZero"/>
        <c:auto val="1"/>
        <c:lblAlgn val="ctr"/>
        <c:lblOffset val="100"/>
        <c:noMultiLvlLbl val="0"/>
      </c:catAx>
      <c:valAx>
        <c:axId val="157812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12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baseline="0"/>
              <a:t>Adj. EBITDA Margin by Segment (FY2023–2025)</a:t>
            </a:r>
            <a:endParaRPr lang="en-P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 (Revenue)'!$A$9</c:f>
              <c:strCache>
                <c:ptCount val="1"/>
                <c:pt idx="0">
                  <c:v>Deliveries</c:v>
                </c:pt>
              </c:strCache>
            </c:strRef>
          </c:tx>
          <c:spPr>
            <a:ln w="28575" cap="rnd">
              <a:solidFill>
                <a:srgbClr val="00B14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14F"/>
              </a:solidFill>
              <a:ln w="9525">
                <a:noFill/>
              </a:ln>
              <a:effectLst/>
            </c:spPr>
          </c:marker>
          <c:cat>
            <c:strRef>
              <c:f>'Raw Data (Revenue)'!$B$8:$D$8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'Raw Data (Revenue)'!$B$9:$D$9</c:f>
              <c:numCache>
                <c:formatCode>0.0%</c:formatCode>
                <c:ptCount val="3"/>
                <c:pt idx="0">
                  <c:v>6.1832061068702288E-2</c:v>
                </c:pt>
                <c:pt idx="1">
                  <c:v>0.13127930341594105</c:v>
                </c:pt>
                <c:pt idx="2">
                  <c:v>0.15944444444444444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44-4CDA-A718-1CB0EAA31CD5}"/>
            </c:ext>
          </c:extLst>
        </c:ser>
        <c:ser>
          <c:idx val="1"/>
          <c:order val="1"/>
          <c:tx>
            <c:strRef>
              <c:f>'Raw Data (Revenue)'!$A$10</c:f>
              <c:strCache>
                <c:ptCount val="1"/>
                <c:pt idx="0">
                  <c:v>Mobility</c:v>
                </c:pt>
              </c:strCache>
            </c:strRef>
          </c:tx>
          <c:spPr>
            <a:ln w="28575" cap="rnd">
              <a:solidFill>
                <a:srgbClr val="007A3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A36"/>
              </a:solidFill>
              <a:ln w="9525">
                <a:noFill/>
              </a:ln>
              <a:effectLst/>
            </c:spPr>
          </c:marker>
          <c:cat>
            <c:strRef>
              <c:f>'Raw Data (Revenue)'!$B$8:$D$8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'Raw Data (Revenue)'!$B$10:$D$10</c:f>
              <c:numCache>
                <c:formatCode>0.0%</c:formatCode>
                <c:ptCount val="3"/>
                <c:pt idx="0">
                  <c:v>0.5350172215843858</c:v>
                </c:pt>
                <c:pt idx="1">
                  <c:v>0.54345749761222539</c:v>
                </c:pt>
                <c:pt idx="2">
                  <c:v>0.56603773584905659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44-4CDA-A718-1CB0EAA31CD5}"/>
            </c:ext>
          </c:extLst>
        </c:ser>
        <c:ser>
          <c:idx val="2"/>
          <c:order val="2"/>
          <c:tx>
            <c:strRef>
              <c:f>'Raw Data (Revenue)'!$A$11</c:f>
              <c:strCache>
                <c:ptCount val="1"/>
                <c:pt idx="0">
                  <c:v>Financial Services</c:v>
                </c:pt>
              </c:strCache>
            </c:strRef>
          </c:tx>
          <c:spPr>
            <a:ln w="28575" cap="rnd">
              <a:solidFill>
                <a:srgbClr val="80D8A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80D8A7"/>
              </a:solidFill>
              <a:ln w="9525">
                <a:noFill/>
              </a:ln>
              <a:effectLst/>
            </c:spPr>
          </c:marker>
          <c:cat>
            <c:strRef>
              <c:f>'Raw Data (Revenue)'!$B$8:$D$8</c:f>
              <c:strCache>
                <c:ptCount val="3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</c:strCache>
            </c:strRef>
          </c:cat>
          <c:val>
            <c:numRef>
              <c:f>'Raw Data (Revenue)'!$B$11:$D$11</c:f>
              <c:numCache>
                <c:formatCode>0.0%</c:formatCode>
                <c:ptCount val="3"/>
                <c:pt idx="0">
                  <c:v>-0.96045197740112997</c:v>
                </c:pt>
                <c:pt idx="1">
                  <c:v>-0.41501976284584979</c:v>
                </c:pt>
                <c:pt idx="2">
                  <c:v>-0.31700288184438041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44-4CDA-A718-1CB0EAA31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9435472"/>
        <c:axId val="1689444208"/>
      </c:lineChart>
      <c:catAx>
        <c:axId val="1689435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444208"/>
        <c:crosses val="autoZero"/>
        <c:auto val="1"/>
        <c:lblAlgn val="ctr"/>
        <c:lblOffset val="100"/>
        <c:noMultiLvlLbl val="0"/>
      </c:catAx>
      <c:valAx>
        <c:axId val="168944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43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'Raw Data (Revenue)'!$I$1</c:f>
              <c:strCache>
                <c:ptCount val="1"/>
                <c:pt idx="0">
                  <c:v>Revenue Mix % 2025</c:v>
                </c:pt>
              </c:strCache>
            </c:strRef>
          </c:tx>
          <c:dPt>
            <c:idx val="0"/>
            <c:bubble3D val="0"/>
            <c:spPr>
              <a:solidFill>
                <a:srgbClr val="00B14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5F-4478-B9AF-79F8FC87C345}"/>
              </c:ext>
            </c:extLst>
          </c:dPt>
          <c:dPt>
            <c:idx val="1"/>
            <c:bubble3D val="0"/>
            <c:spPr>
              <a:solidFill>
                <a:srgbClr val="007A3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5F-4478-B9AF-79F8FC87C345}"/>
              </c:ext>
            </c:extLst>
          </c:dPt>
          <c:dPt>
            <c:idx val="2"/>
            <c:bubble3D val="0"/>
            <c:spPr>
              <a:solidFill>
                <a:srgbClr val="80D8A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5F-4478-B9AF-79F8FC87C3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5F-4478-B9AF-79F8FC87C345}"/>
              </c:ext>
            </c:extLst>
          </c:dPt>
          <c:cat>
            <c:strRef>
              <c:f>'Raw Data (Revenue)'!$A$2:$A$5</c:f>
              <c:strCache>
                <c:ptCount val="4"/>
                <c:pt idx="0">
                  <c:v>Deliveries</c:v>
                </c:pt>
                <c:pt idx="1">
                  <c:v>Mobility</c:v>
                </c:pt>
                <c:pt idx="2">
                  <c:v>Financial Services</c:v>
                </c:pt>
                <c:pt idx="3">
                  <c:v>Others</c:v>
                </c:pt>
              </c:strCache>
            </c:strRef>
          </c:cat>
          <c:val>
            <c:numRef>
              <c:f>'Raw Data (Revenue)'!$I$2:$I$5</c:f>
              <c:numCache>
                <c:formatCode>0%</c:formatCode>
                <c:ptCount val="4"/>
                <c:pt idx="0">
                  <c:v>0.53412462908011871</c:v>
                </c:pt>
                <c:pt idx="1">
                  <c:v>0.36172106824925815</c:v>
                </c:pt>
                <c:pt idx="2">
                  <c:v>0.1029673590504451</c:v>
                </c:pt>
                <c:pt idx="3">
                  <c:v>1.1869436201780415E-3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65F-4478-B9AF-79F8FC87C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3</xdr:row>
      <xdr:rowOff>175260</xdr:rowOff>
    </xdr:from>
    <xdr:to>
      <xdr:col>3</xdr:col>
      <xdr:colOff>556260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265F31-0746-4CF3-A684-88BA690CA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</xdr:colOff>
      <xdr:row>3</xdr:row>
      <xdr:rowOff>152400</xdr:rowOff>
    </xdr:from>
    <xdr:to>
      <xdr:col>6</xdr:col>
      <xdr:colOff>1912620</xdr:colOff>
      <xdr:row>17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7C9D79-9152-4AB7-B8E4-42CCBDA6D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45720</xdr:colOff>
      <xdr:row>3</xdr:row>
      <xdr:rowOff>137160</xdr:rowOff>
    </xdr:from>
    <xdr:to>
      <xdr:col>12</xdr:col>
      <xdr:colOff>320040</xdr:colOff>
      <xdr:row>17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866B82-CDC0-4C8F-B268-F6407B818D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F9C6AE-1F6D-4B8A-94A6-644BE2F4C8E2}" name="Table3" displayName="Table3" ref="A1:O6" totalsRowShown="0" headerRowDxfId="23" headerRowBorderDxfId="22" tableBorderDxfId="21" totalsRowBorderDxfId="20">
  <autoFilter ref="A1:O6" xr:uid="{18F9C6AE-1F6D-4B8A-94A6-644BE2F4C8E2}"/>
  <tableColumns count="15">
    <tableColumn id="1" xr3:uid="{0C27F59C-9196-4379-B566-A81FDEF1D1A9}" name="Segment" dataDxfId="19"/>
    <tableColumn id="2" xr3:uid="{9E07DC93-91CF-4A10-B4C1-76D80F6EDE95}" name="FY 2023" dataDxfId="18"/>
    <tableColumn id="3" xr3:uid="{8A046ADD-C083-45B6-ABD6-BAFA1FC15CB8}" name="FY 2024" dataDxfId="17"/>
    <tableColumn id="4" xr3:uid="{FF6FC446-D3D8-496C-B1FF-1440CE0C02FF}" name="FY 2025" dataDxfId="16"/>
    <tableColumn id="5" xr3:uid="{F9BBA0DE-DCDD-4635-BAC7-444475683486}" name="YoY Growth 24" dataDxfId="15"/>
    <tableColumn id="6" xr3:uid="{626E8792-3C7A-443A-8736-34412CFFCAFE}" name="Yoy Growth 25" dataDxfId="14"/>
    <tableColumn id="7" xr3:uid="{90134667-0595-4B27-AB83-2F987FF24CC5}" name="Revenue Mix % 2023" dataDxfId="13"/>
    <tableColumn id="8" xr3:uid="{D0CECF60-108A-4231-BD60-07D9230F01F1}" name="Revenue Mix % 2024" dataDxfId="12"/>
    <tableColumn id="9" xr3:uid="{A9934361-6C5D-4E85-A084-CB2EC3265783}" name="Revenue Mix % 2025" dataDxfId="11" dataCellStyle="Percent"/>
    <tableColumn id="10" xr3:uid="{47E4081A-950F-4AE8-AE1E-02149E796A6B}" name="Segment Adjusted EBITDA (2023)" dataDxfId="10"/>
    <tableColumn id="11" xr3:uid="{BA248D19-199A-40F4-806B-CC138D7FFB48}" name="Segment Adjusted EBITDA (2024)" dataDxfId="9"/>
    <tableColumn id="12" xr3:uid="{33F1D478-677A-441F-959C-E38EECFE30A9}" name="Segment Adjusted EBITDA (2025)" dataDxfId="8"/>
    <tableColumn id="13" xr3:uid="{E89CF9F5-F795-42DD-AA8C-A3E121AB6996}" name="Adj. EBITDA Margin (2023)" dataDxfId="7" dataCellStyle="Percent"/>
    <tableColumn id="14" xr3:uid="{7F1285DA-587D-49C0-BE6B-512C45F7C328}" name="Adj. EBITDA Margin (2024)" dataDxfId="6" dataCellStyle="Percent"/>
    <tableColumn id="15" xr3:uid="{1E7AC19A-A173-4C36-84DF-382FB4785692}" name="Adj. EBITDA Margin (2025)" dataDxfId="5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24099D-87F5-418B-A4E7-77B285ABDCE4}" name="Table1" displayName="Table1" ref="A2:F7" totalsRowShown="0" headerRowDxfId="4">
  <autoFilter ref="A2:F7" xr:uid="{1824099D-87F5-418B-A4E7-77B285ABDCE4}"/>
  <tableColumns count="6">
    <tableColumn id="1" xr3:uid="{0A22AFD1-622B-485B-988C-59FE880F8389}" name="Segment"/>
    <tableColumn id="2" xr3:uid="{191EC97C-476E-485B-8BDC-B499196C13AA}" name="FY 2023 (Actual)"/>
    <tableColumn id="3" xr3:uid="{B8BB8CA3-482A-4D19-817E-DA9C5D26E06D}" name="FY 2024 (Actual)"/>
    <tableColumn id="4" xr3:uid="{97F98A6D-2AD6-48CD-BCDC-53C0B10D5EA2}" name="FY 2025 (Actual)"/>
    <tableColumn id="5" xr3:uid="{CD0AA6E5-0115-4995-B084-3633F3248F96}" name="FY 2026 Base Case" dataDxfId="3"/>
    <tableColumn id="6" xr3:uid="{05B56DB3-418A-4A34-AC76-FFED9D3B9994}" name="FY 2026 Bear Case" dataDxfId="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CD51EA-2104-4C63-98D5-0F9D5762537A}" name="Table2" displayName="Table2" ref="A10:C14" totalsRowShown="0">
  <autoFilter ref="A10:C14" xr:uid="{F5CD51EA-2104-4C63-98D5-0F9D5762537A}"/>
  <tableColumns count="3">
    <tableColumn id="1" xr3:uid="{01E22A52-243A-4D33-B082-736F2CB665F8}" name="Segment"/>
    <tableColumn id="2" xr3:uid="{F1DF79C9-F84A-400F-A150-6E16F8B8D17C}" name="Base Case Growth%" dataDxfId="1"/>
    <tableColumn id="3" xr3:uid="{183BA6D8-1E68-4E2D-9876-5221CD05B4F9}" name="Bear Case Growth %" dataDxfId="0">
      <calculatedColumnFormula>B11-((B11*30)/100)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D997-2693-47EC-A78B-2E9F4624ABEA}">
  <dimension ref="A1:O11"/>
  <sheetViews>
    <sheetView zoomScaleNormal="100" workbookViewId="0">
      <selection activeCell="B9" sqref="B9"/>
    </sheetView>
  </sheetViews>
  <sheetFormatPr defaultRowHeight="14.4" x14ac:dyDescent="0.3"/>
  <cols>
    <col min="1" max="1" width="15.44140625" customWidth="1"/>
    <col min="2" max="4" width="9.21875" customWidth="1"/>
    <col min="5" max="6" width="15.109375" customWidth="1"/>
    <col min="7" max="9" width="16.77734375" customWidth="1"/>
    <col min="10" max="12" width="24.6640625" customWidth="1"/>
    <col min="13" max="15" width="21.109375" customWidth="1"/>
  </cols>
  <sheetData>
    <row r="1" spans="1:15" s="1" customFormat="1" ht="28.8" x14ac:dyDescent="0.3">
      <c r="A1" s="15" t="s">
        <v>0</v>
      </c>
      <c r="B1" s="16" t="s">
        <v>6</v>
      </c>
      <c r="C1" s="16" t="s">
        <v>5</v>
      </c>
      <c r="D1" s="16" t="s">
        <v>7</v>
      </c>
      <c r="E1" s="16" t="s">
        <v>8</v>
      </c>
      <c r="F1" s="16" t="s">
        <v>9</v>
      </c>
      <c r="G1" s="16" t="s">
        <v>12</v>
      </c>
      <c r="H1" s="16" t="s">
        <v>13</v>
      </c>
      <c r="I1" s="16" t="s">
        <v>11</v>
      </c>
      <c r="J1" s="16" t="s">
        <v>14</v>
      </c>
      <c r="K1" s="16" t="s">
        <v>15</v>
      </c>
      <c r="L1" s="16" t="s">
        <v>16</v>
      </c>
      <c r="M1" s="16" t="s">
        <v>17</v>
      </c>
      <c r="N1" s="16" t="s">
        <v>18</v>
      </c>
      <c r="O1" s="17" t="s">
        <v>19</v>
      </c>
    </row>
    <row r="2" spans="1:15" x14ac:dyDescent="0.3">
      <c r="A2" s="13" t="s">
        <v>1</v>
      </c>
      <c r="B2" s="3">
        <v>1310</v>
      </c>
      <c r="C2" s="3">
        <v>1493</v>
      </c>
      <c r="D2" s="3">
        <v>1800</v>
      </c>
      <c r="E2" s="4">
        <v>0.14000000000000001</v>
      </c>
      <c r="F2" s="4">
        <v>0.21</v>
      </c>
      <c r="G2" s="5">
        <f>B2/$B$6</f>
        <v>0.55532005086901226</v>
      </c>
      <c r="H2" s="5">
        <f>C2/$C$6</f>
        <v>0.53378619949946371</v>
      </c>
      <c r="I2" s="6">
        <f>D2/$D$6</f>
        <v>0.53412462908011871</v>
      </c>
      <c r="J2" s="8">
        <v>81</v>
      </c>
      <c r="K2" s="9">
        <v>196</v>
      </c>
      <c r="L2" s="9">
        <v>287</v>
      </c>
      <c r="M2" s="7">
        <f t="shared" ref="M2:O5" si="0">J2/B2</f>
        <v>6.1832061068702288E-2</v>
      </c>
      <c r="N2" s="7">
        <f t="shared" si="0"/>
        <v>0.13127930341594105</v>
      </c>
      <c r="O2" s="14">
        <f t="shared" si="0"/>
        <v>0.15944444444444444</v>
      </c>
    </row>
    <row r="3" spans="1:15" x14ac:dyDescent="0.3">
      <c r="A3" s="13" t="s">
        <v>2</v>
      </c>
      <c r="B3" s="3">
        <v>871</v>
      </c>
      <c r="C3" s="3">
        <v>1047</v>
      </c>
      <c r="D3" s="3">
        <v>1219</v>
      </c>
      <c r="E3" s="4">
        <v>0.2</v>
      </c>
      <c r="F3" s="4">
        <v>0.16</v>
      </c>
      <c r="G3" s="5">
        <f>B3/$B$6</f>
        <v>0.36922424756252648</v>
      </c>
      <c r="H3" s="5">
        <f>C3/$C$6</f>
        <v>0.37432963889882015</v>
      </c>
      <c r="I3" s="6">
        <f>D3/$D$6</f>
        <v>0.36172106824925815</v>
      </c>
      <c r="J3" s="8">
        <v>466</v>
      </c>
      <c r="K3" s="8">
        <v>569</v>
      </c>
      <c r="L3" s="8">
        <v>690</v>
      </c>
      <c r="M3" s="7">
        <f t="shared" si="0"/>
        <v>0.5350172215843858</v>
      </c>
      <c r="N3" s="7">
        <f t="shared" si="0"/>
        <v>0.54345749761222539</v>
      </c>
      <c r="O3" s="14">
        <f t="shared" si="0"/>
        <v>0.56603773584905659</v>
      </c>
    </row>
    <row r="4" spans="1:15" x14ac:dyDescent="0.3">
      <c r="A4" s="13" t="s">
        <v>3</v>
      </c>
      <c r="B4" s="3">
        <v>177</v>
      </c>
      <c r="C4" s="3">
        <v>253</v>
      </c>
      <c r="D4" s="3">
        <v>347</v>
      </c>
      <c r="E4" s="4">
        <v>0.44</v>
      </c>
      <c r="F4" s="4">
        <v>0.37</v>
      </c>
      <c r="G4" s="5">
        <f>B4/$B$6</f>
        <v>7.5031793132683336E-2</v>
      </c>
      <c r="H4" s="5">
        <f>C4/$C$6</f>
        <v>9.0454057919199138E-2</v>
      </c>
      <c r="I4" s="6">
        <f>D4/$D$6</f>
        <v>0.1029673590504451</v>
      </c>
      <c r="J4" s="8">
        <v>-170</v>
      </c>
      <c r="K4" s="8">
        <v>-105</v>
      </c>
      <c r="L4" s="8">
        <v>-110</v>
      </c>
      <c r="M4" s="7">
        <f t="shared" si="0"/>
        <v>-0.96045197740112997</v>
      </c>
      <c r="N4" s="7">
        <f t="shared" si="0"/>
        <v>-0.41501976284584979</v>
      </c>
      <c r="O4" s="14">
        <f t="shared" si="0"/>
        <v>-0.31700288184438041</v>
      </c>
    </row>
    <row r="5" spans="1:15" x14ac:dyDescent="0.3">
      <c r="A5" s="13" t="s">
        <v>4</v>
      </c>
      <c r="B5" s="3">
        <v>1</v>
      </c>
      <c r="C5" s="3">
        <v>4</v>
      </c>
      <c r="D5" s="3">
        <v>4</v>
      </c>
      <c r="E5" s="4">
        <v>1.66</v>
      </c>
      <c r="F5" s="4">
        <v>0.14000000000000001</v>
      </c>
      <c r="G5" s="5">
        <f>B5/$B$6</f>
        <v>4.2390843577787198E-4</v>
      </c>
      <c r="H5" s="5">
        <f>C5/$C$6</f>
        <v>1.4301036825169824E-3</v>
      </c>
      <c r="I5" s="6">
        <f>D5/$D$6</f>
        <v>1.1869436201780415E-3</v>
      </c>
      <c r="J5" s="8">
        <v>-1</v>
      </c>
      <c r="K5" s="8">
        <v>3</v>
      </c>
      <c r="L5" s="8">
        <v>1</v>
      </c>
      <c r="M5" s="7">
        <f t="shared" si="0"/>
        <v>-1</v>
      </c>
      <c r="N5" s="7">
        <f t="shared" si="0"/>
        <v>0.75</v>
      </c>
      <c r="O5" s="14">
        <f t="shared" si="0"/>
        <v>0.25</v>
      </c>
    </row>
    <row r="6" spans="1:15" x14ac:dyDescent="0.3">
      <c r="A6" s="18" t="s">
        <v>10</v>
      </c>
      <c r="B6" s="19">
        <f>SUM(B2:B5)</f>
        <v>2359</v>
      </c>
      <c r="C6" s="19">
        <f t="shared" ref="C6:I6" si="1">SUM(C2:C5)</f>
        <v>2797</v>
      </c>
      <c r="D6" s="19">
        <f t="shared" si="1"/>
        <v>3370</v>
      </c>
      <c r="E6" s="20"/>
      <c r="F6" s="20"/>
      <c r="G6" s="21">
        <f t="shared" si="1"/>
        <v>1</v>
      </c>
      <c r="H6" s="21">
        <f t="shared" si="1"/>
        <v>1</v>
      </c>
      <c r="I6" s="21">
        <f t="shared" si="1"/>
        <v>1</v>
      </c>
      <c r="J6" s="22"/>
      <c r="K6" s="22"/>
      <c r="L6" s="22"/>
      <c r="M6" s="22"/>
      <c r="N6" s="22"/>
      <c r="O6" s="23"/>
    </row>
    <row r="8" spans="1:15" x14ac:dyDescent="0.3">
      <c r="A8" s="30"/>
      <c r="B8" s="30" t="s">
        <v>6</v>
      </c>
      <c r="C8" s="30" t="s">
        <v>5</v>
      </c>
      <c r="D8" s="30" t="s">
        <v>7</v>
      </c>
    </row>
    <row r="9" spans="1:15" x14ac:dyDescent="0.3">
      <c r="A9" s="24" t="s">
        <v>1</v>
      </c>
      <c r="B9" s="31">
        <f>M2</f>
        <v>6.1832061068702288E-2</v>
      </c>
      <c r="C9" s="31">
        <f t="shared" ref="C9:D11" si="2">N2</f>
        <v>0.13127930341594105</v>
      </c>
      <c r="D9" s="31">
        <f t="shared" si="2"/>
        <v>0.15944444444444444</v>
      </c>
    </row>
    <row r="10" spans="1:15" x14ac:dyDescent="0.3">
      <c r="A10" s="25" t="s">
        <v>2</v>
      </c>
      <c r="B10" s="31">
        <f t="shared" ref="B10:B11" si="3">M3</f>
        <v>0.5350172215843858</v>
      </c>
      <c r="C10" s="31">
        <f t="shared" si="2"/>
        <v>0.54345749761222539</v>
      </c>
      <c r="D10" s="31">
        <f t="shared" si="2"/>
        <v>0.56603773584905659</v>
      </c>
      <c r="J10" s="2"/>
    </row>
    <row r="11" spans="1:15" x14ac:dyDescent="0.3">
      <c r="A11" s="24" t="s">
        <v>3</v>
      </c>
      <c r="B11" s="31">
        <f t="shared" si="3"/>
        <v>-0.96045197740112997</v>
      </c>
      <c r="C11" s="31">
        <f t="shared" si="2"/>
        <v>-0.41501976284584979</v>
      </c>
      <c r="D11" s="31">
        <f t="shared" si="2"/>
        <v>-0.31700288184438041</v>
      </c>
    </row>
  </sheetData>
  <phoneticPr fontId="6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E487A-6ECC-4B15-BB8D-449AC7A3CAD2}">
  <dimension ref="A1:F14"/>
  <sheetViews>
    <sheetView workbookViewId="0">
      <selection activeCell="C29" sqref="C29"/>
    </sheetView>
  </sheetViews>
  <sheetFormatPr defaultRowHeight="14.4" x14ac:dyDescent="0.3"/>
  <cols>
    <col min="1" max="1" width="15.5546875" customWidth="1"/>
    <col min="2" max="2" width="19.109375" customWidth="1"/>
    <col min="3" max="3" width="19.44140625" customWidth="1"/>
    <col min="4" max="4" width="16.33203125" customWidth="1"/>
    <col min="5" max="5" width="17.88671875" customWidth="1"/>
    <col min="6" max="6" width="17.77734375" customWidth="1"/>
  </cols>
  <sheetData>
    <row r="1" spans="1:6" x14ac:dyDescent="0.3">
      <c r="A1" s="12" t="s">
        <v>20</v>
      </c>
    </row>
    <row r="2" spans="1:6" x14ac:dyDescent="0.3">
      <c r="A2" s="12" t="s">
        <v>0</v>
      </c>
      <c r="B2" s="12" t="s">
        <v>21</v>
      </c>
      <c r="C2" s="12" t="s">
        <v>22</v>
      </c>
      <c r="D2" s="12" t="s">
        <v>23</v>
      </c>
      <c r="E2" s="12" t="s">
        <v>24</v>
      </c>
      <c r="F2" s="12" t="s">
        <v>25</v>
      </c>
    </row>
    <row r="3" spans="1:6" x14ac:dyDescent="0.3">
      <c r="A3" t="s">
        <v>1</v>
      </c>
      <c r="B3">
        <f>'Raw Data (Revenue)'!B2</f>
        <v>1310</v>
      </c>
      <c r="C3">
        <f>'Raw Data (Revenue)'!C2</f>
        <v>1493</v>
      </c>
      <c r="D3">
        <f>'Raw Data (Revenue)'!D2</f>
        <v>1800</v>
      </c>
      <c r="E3" s="2">
        <f>D3*(1+B11)</f>
        <v>2178</v>
      </c>
      <c r="F3" s="2">
        <f>D3*(1+C11)</f>
        <v>2064.6</v>
      </c>
    </row>
    <row r="4" spans="1:6" x14ac:dyDescent="0.3">
      <c r="A4" t="s">
        <v>2</v>
      </c>
      <c r="B4">
        <f>'Raw Data (Revenue)'!B3</f>
        <v>871</v>
      </c>
      <c r="C4">
        <f>'Raw Data (Revenue)'!C3</f>
        <v>1047</v>
      </c>
      <c r="D4">
        <f>'Raw Data (Revenue)'!D3</f>
        <v>1219</v>
      </c>
      <c r="E4" s="2">
        <f>D4*(1+B12)</f>
        <v>1414.04</v>
      </c>
      <c r="F4" s="2">
        <f>D4*(1+C12)</f>
        <v>1355.528</v>
      </c>
    </row>
    <row r="5" spans="1:6" x14ac:dyDescent="0.3">
      <c r="A5" t="s">
        <v>3</v>
      </c>
      <c r="B5">
        <f>'Raw Data (Revenue)'!B4</f>
        <v>177</v>
      </c>
      <c r="C5">
        <f>'Raw Data (Revenue)'!C4</f>
        <v>253</v>
      </c>
      <c r="D5">
        <f>'Raw Data (Revenue)'!D4</f>
        <v>347</v>
      </c>
      <c r="E5" s="2">
        <f>D5*(1+B13)</f>
        <v>475.39000000000004</v>
      </c>
      <c r="F5" s="2">
        <f>D5*(1+C13)</f>
        <v>436.87299999999999</v>
      </c>
    </row>
    <row r="6" spans="1:6" x14ac:dyDescent="0.3">
      <c r="A6" t="s">
        <v>4</v>
      </c>
      <c r="B6">
        <f>'Raw Data (Revenue)'!B5</f>
        <v>1</v>
      </c>
      <c r="C6">
        <f>'Raw Data (Revenue)'!C5</f>
        <v>4</v>
      </c>
      <c r="D6">
        <f>'Raw Data (Revenue)'!D5</f>
        <v>4</v>
      </c>
      <c r="E6" s="2">
        <f>D6*(1+B14)</f>
        <v>4</v>
      </c>
      <c r="F6" s="2">
        <f>D6*(1+C14)</f>
        <v>4</v>
      </c>
    </row>
    <row r="7" spans="1:6" x14ac:dyDescent="0.3">
      <c r="A7" t="s">
        <v>10</v>
      </c>
      <c r="B7">
        <f>SUM(B3:B6)</f>
        <v>2359</v>
      </c>
      <c r="C7">
        <f>SUM(C3:C6)</f>
        <v>2797</v>
      </c>
      <c r="D7">
        <f>SUM(D3:D6)</f>
        <v>3370</v>
      </c>
      <c r="E7" s="2">
        <f>SUM(E3:E6)</f>
        <v>4071.43</v>
      </c>
      <c r="F7" s="2">
        <f>SUM(F3:F6)</f>
        <v>3861.0009999999997</v>
      </c>
    </row>
    <row r="9" spans="1:6" x14ac:dyDescent="0.3">
      <c r="A9" s="12" t="s">
        <v>26</v>
      </c>
    </row>
    <row r="10" spans="1:6" x14ac:dyDescent="0.3">
      <c r="A10" t="s">
        <v>0</v>
      </c>
      <c r="B10" t="s">
        <v>27</v>
      </c>
      <c r="C10" t="s">
        <v>28</v>
      </c>
    </row>
    <row r="11" spans="1:6" x14ac:dyDescent="0.3">
      <c r="A11" t="s">
        <v>1</v>
      </c>
      <c r="B11" s="4">
        <v>0.21</v>
      </c>
      <c r="C11" s="10">
        <f>B11-((B11*30)/100)</f>
        <v>0.14699999999999999</v>
      </c>
    </row>
    <row r="12" spans="1:6" x14ac:dyDescent="0.3">
      <c r="A12" t="s">
        <v>2</v>
      </c>
      <c r="B12" s="4">
        <v>0.16</v>
      </c>
      <c r="C12" s="10">
        <f>B12-((B12*30)/100)</f>
        <v>0.112</v>
      </c>
    </row>
    <row r="13" spans="1:6" x14ac:dyDescent="0.3">
      <c r="A13" t="s">
        <v>3</v>
      </c>
      <c r="B13" s="4">
        <v>0.37</v>
      </c>
      <c r="C13" s="10">
        <f>B13-((B13*30)/100)</f>
        <v>0.25900000000000001</v>
      </c>
    </row>
    <row r="14" spans="1:6" x14ac:dyDescent="0.3">
      <c r="A14" t="s">
        <v>4</v>
      </c>
      <c r="B14" s="11">
        <v>0</v>
      </c>
      <c r="C14" s="10">
        <f>B14-((B14*30)/100)</f>
        <v>0</v>
      </c>
    </row>
  </sheetData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762D7-30F8-4DDA-BCFE-7E52D1593968}">
  <dimension ref="A1:G3"/>
  <sheetViews>
    <sheetView showGridLines="0" showRowColHeaders="0" tabSelected="1" zoomScaleNormal="100" workbookViewId="0">
      <selection activeCell="O28" sqref="O28"/>
    </sheetView>
  </sheetViews>
  <sheetFormatPr defaultRowHeight="14.4" x14ac:dyDescent="0.3"/>
  <cols>
    <col min="1" max="1" width="23.77734375" customWidth="1"/>
    <col min="3" max="3" width="25.109375" customWidth="1"/>
    <col min="5" max="5" width="29.88671875" customWidth="1"/>
    <col min="7" max="7" width="28" customWidth="1"/>
  </cols>
  <sheetData>
    <row r="1" spans="1:7" ht="18" x14ac:dyDescent="0.35">
      <c r="A1" s="32" t="s">
        <v>37</v>
      </c>
      <c r="B1" s="32"/>
      <c r="C1" s="32"/>
      <c r="D1" s="32"/>
      <c r="E1" s="32"/>
      <c r="F1" s="32"/>
      <c r="G1" s="32"/>
    </row>
    <row r="2" spans="1:7" s="26" customFormat="1" x14ac:dyDescent="0.3">
      <c r="A2" s="28" t="s">
        <v>29</v>
      </c>
      <c r="C2" s="28" t="s">
        <v>31</v>
      </c>
      <c r="E2" s="28" t="s">
        <v>33</v>
      </c>
      <c r="G2" s="28" t="s">
        <v>35</v>
      </c>
    </row>
    <row r="3" spans="1:7" s="27" customFormat="1" x14ac:dyDescent="0.3">
      <c r="A3" s="29" t="s">
        <v>30</v>
      </c>
      <c r="C3" s="29" t="s">
        <v>32</v>
      </c>
      <c r="E3" s="29" t="s">
        <v>34</v>
      </c>
      <c r="G3" s="29" t="s">
        <v>36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6201-1378-46C6-B841-AD2A6D841D9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09D577-1A22-4D53-81D1-03E133571E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 (Revenue)</vt:lpstr>
      <vt:lpstr>Model</vt:lpstr>
      <vt:lpstr>Dashboard</vt:lpstr>
      <vt:lpstr>PBI_Data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CALLEJA</dc:creator>
  <cp:lastModifiedBy>LARA CALLEJA</cp:lastModifiedBy>
  <dcterms:created xsi:type="dcterms:W3CDTF">2026-03-10T03:31:17Z</dcterms:created>
  <dcterms:modified xsi:type="dcterms:W3CDTF">2026-04-08T16:37:09Z</dcterms:modified>
</cp:coreProperties>
</file>